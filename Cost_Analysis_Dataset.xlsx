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hidePivotFieldList="1"/>
  <mc:AlternateContent xmlns:mc="http://schemas.openxmlformats.org/markup-compatibility/2006">
    <mc:Choice Requires="x15">
      <x15ac:absPath xmlns:x15ac="http://schemas.microsoft.com/office/spreadsheetml/2010/11/ac" url="C:\Users\Nkhosikhona Mpungose\Downloads\"/>
    </mc:Choice>
  </mc:AlternateContent>
  <xr:revisionPtr revIDLastSave="0" documentId="13_ncr:2000001_{AA62831F-77A5-44F1-BFCB-46597D58BD0A}" xr6:coauthVersionLast="47" xr6:coauthVersionMax="47" xr10:uidLastSave="{00000000-0000-0000-0000-000000000000}"/>
  <bookViews>
    <workbookView xWindow="-120" yWindow="-120" windowWidth="29040" windowHeight="15720" activeTab="2" xr2:uid="{00000000-000D-0000-FFFF-FFFF00000000}"/>
  </bookViews>
  <sheets>
    <sheet name="Master Data" sheetId="1" r:id="rId1"/>
    <sheet name="Pie Chart Data" sheetId="2" r:id="rId2"/>
    <sheet name="Scenario Analysis" sheetId="3" r:id="rId3"/>
  </sheets>
  <calcPr calcId="0"/>
  <pivotCaches>
    <pivotCache cacheId="73" r:id="rId4"/>
    <pivotCache cacheId="90" r:id="rId5"/>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4A2E59-1708-41AC-BCDB-E90A60095A09}" keepAlive="1" name="EnergyGeneration" type="5" refreshedVersion="8" background="1">
    <dbPr connection="Provider=MSOLAP;Integrated Security=ClaimsToken;Identity Provider=https://login.microsoftonline.com/common, https://analysis.windows.net/powerbi/api, 929d0ec0-7a41-4b1e-bc7c-b754a28bddcc;Persist Security Info=True;Data Source=pbiazure://api.powerbi.com;Initial Catalog=b93795e0-6106-47f1-a212-b1ceb5e6aa08;MDX Compatibility= 1; MDX Missing Member Mode= Error; Safety Options= 2; Update Isolation Level= 2;Locale Identifier=1033;" command="Model" commandType="1"/>
    <olapPr rowDrillCount="1000"/>
  </connection>
</connections>
</file>

<file path=xl/sharedStrings.xml><?xml version="1.0" encoding="utf-8"?>
<sst xmlns="http://schemas.openxmlformats.org/spreadsheetml/2006/main" count="58" uniqueCount="41">
  <si>
    <t>Stage</t>
  </si>
  <si>
    <t>Category</t>
  </si>
  <si>
    <t>Description</t>
  </si>
  <si>
    <t>Units</t>
  </si>
  <si>
    <t>Base Value (R)</t>
  </si>
  <si>
    <t>Multiplier</t>
  </si>
  <si>
    <t>Result (R)</t>
  </si>
  <si>
    <t>Time Period</t>
  </si>
  <si>
    <t>GCH</t>
  </si>
  <si>
    <t>Notes</t>
  </si>
  <si>
    <t>Move Loss</t>
  </si>
  <si>
    <t>Per Move</t>
  </si>
  <si>
    <t>Based on performance gap</t>
  </si>
  <si>
    <t>Loss for 4 moves</t>
  </si>
  <si>
    <t>Per Cycle</t>
  </si>
  <si>
    <t>Calculated inefficiency</t>
  </si>
  <si>
    <t>Gang Loss</t>
  </si>
  <si>
    <t>Daily loss per gang</t>
  </si>
  <si>
    <t>Per Gang (Daily)</t>
  </si>
  <si>
    <t>Single gang impact</t>
  </si>
  <si>
    <t>Total for 3 gangs</t>
  </si>
  <si>
    <t>Per Day</t>
  </si>
  <si>
    <t>All gangs combined</t>
  </si>
  <si>
    <t>Time Impact</t>
  </si>
  <si>
    <t>Monthly accumulation</t>
  </si>
  <si>
    <t>Per Month</t>
  </si>
  <si>
    <t>Total monthly loss</t>
  </si>
  <si>
    <t>Amount (R)</t>
  </si>
  <si>
    <t>GCH Inefficiency</t>
  </si>
  <si>
    <t>Crane Variation</t>
  </si>
  <si>
    <t>Gang Inefficiency</t>
  </si>
  <si>
    <t>Time Accumulation</t>
  </si>
  <si>
    <t>Monthly Loss (R)</t>
  </si>
  <si>
    <t>Sum of Units</t>
  </si>
  <si>
    <t>Sum of Result (R)</t>
  </si>
  <si>
    <t>Column1</t>
  </si>
  <si>
    <t>Column2</t>
  </si>
  <si>
    <t>Row Labels</t>
  </si>
  <si>
    <t>Grand Total</t>
  </si>
  <si>
    <t>Sum of Monthly Loss (R)</t>
  </si>
  <si>
    <t>Loss per single move (6m/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</si>
</sst>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1C09]* #,##0.00_-;\-[$R-1C09]* #,##0.00_-;_-[$R-1C09]* &quot;-&quot;??_-;_-@_-"/>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8">
    <dxf>
      <numFmt numFmtId="164" formatCode="_-[$R-1C09]* #,##0.00_-;\-[$R-1C09]* #,##0.00_-;_-[$R-1C09]* &quot;-&quot;??_-;_-@_-"/>
    </dxf>
    <dxf>
      <numFmt numFmtId="164" formatCode="_-[$R-1C09]* #,##0.00_-;\-[$R-1C09]* #,##0.00_-;_-[$R-1C09]* &quot;-&quot;??_-;_-@_-"/>
    </dxf>
    <dxf>
      <numFmt numFmtId="164" formatCode="_-[$R-1C09]* #,##0.00_-;\-[$R-1C09]* #,##0.00_-;_-[$R-1C09]* &quot;-&quot;??_-;_-@_-"/>
    </dxf>
    <dxf>
      <numFmt numFmtId="164" formatCode="_-[$R-1C09]* #,##0.00_-;\-[$R-1C09]* #,##0.00_-;_-[$R-1C09]* &quot;-&quot;??_-;_-@_-"/>
    </dxf>
    <dxf>
      <numFmt numFmtId="164" formatCode="_-[$R-1C09]* #,##0.00_-;\-[$R-1C09]* #,##0.00_-;_-[$R-1C09]* &quot;-&quot;??_-;_-@_-"/>
    </dxf>
    <dxf>
      <numFmt numFmtId="164" formatCode="_-[$R-1C09]* #,##0.00_-;\-[$R-1C09]* #,##0.00_-;_-[$R-1C09]* &quot;-&quot;??_-;_-@_-"/>
    </dxf>
    <dxf>
      <numFmt numFmtId="164" formatCode="_-[$R-1C09]* #,##0.00_-;\-[$R-1C09]* #,##0.00_-;_-[$R-1C09]* &quot;-&quot;??_-;_-@_-"/>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[Cost_Analysis_Dataset.xlsx]Master Data!PivotTable17</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Description, Units vs Total Amount Loss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a:sp3d contourW="9525">
          <a:contourClr>
            <a:schemeClr val="accent3">
              <a:shade val="95000"/>
              <a:satMod val="105000"/>
            </a:schemeClr>
          </a:contourClr>
        </a:sp3d>
      </c:spPr>
    </c:sideWall>
    <c:backWall>
      <c:thickness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a:sp3d contourW="9525">
          <a:contourClr>
            <a:schemeClr val="accent3">
              <a:shade val="95000"/>
              <a:satMod val="105000"/>
            </a:schemeClr>
          </a:contourClr>
        </a:sp3d>
      </c:spPr>
    </c:backWall>
    <c:plotArea>
      <c:layout/>
      <c:bar3DChart>
        <c:barDir val="col"/>
        <c:grouping val="clustered"/>
        <c:varyColors val="0"/>
        <c:ser>
          <c:idx val="0"/>
          <c:order val="0"/>
          <c:tx>
            <c:strRef>
              <c:f>'Master Data'!$C$9</c:f>
              <c:strCache>
                <c:ptCount val="1"/>
                <c:pt idx="0">
                  <c:v>Sum of Units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'Master Data'!$B$10:$B$14</c:f>
              <c:strCache>
                <c:ptCount val="5"/>
                <c:pt idx="0">
                  <c:v>Daily loss per gang</c:v>
                </c:pt>
                <c:pt idx="1">
                  <c:v>Loss for 4 moves</c:v>
                </c:pt>
                <c:pt idx="2">
                  <c:v>Monthly accumulation</c:v>
                </c:pt>
                <c:pt idx="3">
                  <c:v>Total for 3 gangs</c:v>
                </c:pt>
                <c:pt idx="4">
                  <c:v>Loss per single move (6m/ 20")</c:v>
                </c:pt>
              </c:strCache>
            </c:strRef>
          </c:cat>
          <c:val>
            <c:numRef>
              <c:f>'Master Data'!$C$10:$C$14</c:f>
              <c:numCache>
                <c:formatCode>General</c:formatCode>
                <c:ptCount val="5"/>
                <c:pt idx="0">
                  <c:v>1</c:v>
                </c:pt>
                <c:pt idx="1">
                  <c:v>4</c:v>
                </c:pt>
                <c:pt idx="2">
                  <c:v>30</c:v>
                </c:pt>
                <c:pt idx="3">
                  <c:v>3</c:v>
                </c:pt>
                <c:pt idx="4">
                  <c:v>1</c:v>
                </c:pt>
              </c:numCache>
            </c:numRef>
          </c:val>
          <c:extLst>
            <c:ext xmlns:c16="http://schemas.microsoft.com/office/drawing/2014/chart" uri="{C3380CC4-5D6E-409C-BE32-E72D297353CC}">
              <c16:uniqueId val="{00000000-F056-4312-B85B-EFF9551F9030}"/>
            </c:ext>
          </c:extLst>
        </c:ser>
        <c:ser>
          <c:idx val="1"/>
          <c:order val="1"/>
          <c:tx>
            <c:strRef>
              <c:f>'Master Data'!$D$9</c:f>
              <c:strCache>
                <c:ptCount val="1"/>
                <c:pt idx="0">
                  <c:v>Sum of Result (R)</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'Master Data'!$B$10:$B$14</c:f>
              <c:strCache>
                <c:ptCount val="5"/>
                <c:pt idx="0">
                  <c:v>Daily loss per gang</c:v>
                </c:pt>
                <c:pt idx="1">
                  <c:v>Loss for 4 moves</c:v>
                </c:pt>
                <c:pt idx="2">
                  <c:v>Monthly accumulation</c:v>
                </c:pt>
                <c:pt idx="3">
                  <c:v>Total for 3 gangs</c:v>
                </c:pt>
                <c:pt idx="4">
                  <c:v>Loss per single move (6m/ 20")</c:v>
                </c:pt>
              </c:strCache>
            </c:strRef>
          </c:cat>
          <c:val>
            <c:numRef>
              <c:f>'Master Data'!$D$10:$D$14</c:f>
              <c:numCache>
                <c:formatCode>_-[$R-1C09]* #,##0.00_-;\-[$R-1C09]* #,##0.00_-;_-[$R-1C09]* "-"??_-;_-@_-</c:formatCode>
                <c:ptCount val="5"/>
                <c:pt idx="0">
                  <c:v>10608</c:v>
                </c:pt>
                <c:pt idx="1">
                  <c:v>10608</c:v>
                </c:pt>
                <c:pt idx="2">
                  <c:v>954720</c:v>
                </c:pt>
                <c:pt idx="3">
                  <c:v>31824</c:v>
                </c:pt>
                <c:pt idx="4">
                  <c:v>2652</c:v>
                </c:pt>
              </c:numCache>
            </c:numRef>
          </c:val>
          <c:extLst>
            <c:ext xmlns:c16="http://schemas.microsoft.com/office/drawing/2014/chart" uri="{C3380CC4-5D6E-409C-BE32-E72D297353CC}">
              <c16:uniqueId val="{00000003-F056-4312-B85B-EFF9551F9030}"/>
            </c:ext>
          </c:extLst>
        </c:ser>
        <c:dLbls>
          <c:showLegendKey val="0"/>
          <c:showVal val="1"/>
          <c:showCatName val="0"/>
          <c:showSerName val="0"/>
          <c:showPercent val="0"/>
          <c:showBubbleSize val="0"/>
        </c:dLbls>
        <c:gapWidth val="84"/>
        <c:gapDepth val="53"/>
        <c:shape val="box"/>
        <c:axId val="303674719"/>
        <c:axId val="1829790319"/>
        <c:axId val="0"/>
      </c:bar3DChart>
      <c:catAx>
        <c:axId val="303674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9790319"/>
        <c:crosses val="autoZero"/>
        <c:auto val="1"/>
        <c:lblAlgn val="ctr"/>
        <c:lblOffset val="100"/>
        <c:noMultiLvlLbl val="0"/>
      </c:catAx>
      <c:valAx>
        <c:axId val="1829790319"/>
        <c:scaling>
          <c:orientation val="minMax"/>
        </c:scaling>
        <c:delete val="1"/>
        <c:axPos val="l"/>
        <c:numFmt formatCode="General" sourceLinked="1"/>
        <c:majorTickMark val="out"/>
        <c:minorTickMark val="none"/>
        <c:tickLblPos val="nextTo"/>
        <c:crossAx val="30367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[Cost_Analysis_Dataset.xlsx]Master Data!PivotTable22</c:name>
    <c:fmtId val="0"/>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t>Time Period vs Total Amount Loss (R)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'Master Data'!$C$18</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'Master Data'!$B$19:$B$23</c:f>
              <c:strCache>
                <c:ptCount val="5"/>
                <c:pt idx="0">
                  <c:v>Per Cycle</c:v>
                </c:pt>
                <c:pt idx="1">
                  <c:v>Per Day</c:v>
                </c:pt>
                <c:pt idx="2">
                  <c:v>Per Gang (Daily)</c:v>
                </c:pt>
                <c:pt idx="3">
                  <c:v>Per Month</c:v>
                </c:pt>
                <c:pt idx="4">
                  <c:v>Per Move</c:v>
                </c:pt>
              </c:strCache>
            </c:strRef>
          </c:cat>
          <c:val>
            <c:numRef>
              <c:f>'Master Data'!$C$19:$C$23</c:f>
              <c:numCache>
                <c:formatCode>_-[$R-1C09]* #,##0.00_-;\-[$R-1C09]* #,##0.00_-;_-[$R-1C09]* "-"??_-;_-@_-</c:formatCode>
                <c:ptCount val="5"/>
                <c:pt idx="0">
                  <c:v>10608</c:v>
                </c:pt>
                <c:pt idx="1">
                  <c:v>31824</c:v>
                </c:pt>
                <c:pt idx="2">
                  <c:v>10608</c:v>
                </c:pt>
                <c:pt idx="3">
                  <c:v>954720</c:v>
                </c:pt>
                <c:pt idx="4">
                  <c:v>2652</c:v>
                </c:pt>
              </c:numCache>
            </c:numRef>
          </c:val>
          <c:extLst>
            <c:ext xmlns:c16="http://schemas.microsoft.com/office/drawing/2014/chart" uri="{C3380CC4-5D6E-409C-BE32-E72D297353CC}">
              <c16:uniqueId val="{00000000-E9DC-4371-A33F-8BE361297019}"/>
            </c:ext>
          </c:extLst>
        </c:ser>
        <c:dLbls>
          <c:showLegendKey val="0"/>
          <c:showVal val="1"/>
          <c:showCatName val="0"/>
          <c:showSerName val="0"/>
          <c:showPercent val="0"/>
          <c:showBubbleSize val="0"/>
        </c:dLbls>
        <c:gapWidth val="150"/>
        <c:shape val="box"/>
        <c:axId val="86800927"/>
        <c:axId val="1829790799"/>
        <c:axId val="0"/>
      </c:bar3DChart>
      <c:catAx>
        <c:axId val="868009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9790799"/>
        <c:crosses val="autoZero"/>
        <c:auto val="1"/>
        <c:lblAlgn val="ctr"/>
        <c:lblOffset val="100"/>
        <c:noMultiLvlLbl val="0"/>
      </c:catAx>
      <c:valAx>
        <c:axId val="1829790799"/>
        <c:scaling>
          <c:orientation val="minMax"/>
        </c:scaling>
        <c:delete val="0"/>
        <c:axPos val="l"/>
        <c:majorGridlines>
          <c:spPr>
            <a:ln w="9525" cap="flat" cmpd="sng" algn="ctr">
              <a:solidFill>
                <a:schemeClr val="tx2">
                  <a:lumMod val="15000"/>
                  <a:lumOff val="85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80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solidFill>
        <a:schemeClr val="accent1">
          <a:shade val="95000"/>
          <a:satMod val="105000"/>
        </a:schemeClr>
      </a:solidFill>
      <a:prstDash val="solid"/>
      <a:roun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Monthly Loss</a:t>
            </a:r>
            <a:r>
              <a:rPr lang="en-US"/>
              <a:t> Per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'Pie Chart Data'!$B$1</c:f>
              <c:strCache>
                <c:ptCount val="1"/>
                <c:pt idx="0">
                  <c:v>Amount (R)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 Data'!$A$2:$A$5</c:f>
              <c:strCache>
                <c:ptCount val="4"/>
                <c:pt idx="0">
                  <c:v>GCH Inefficiency</c:v>
                </c:pt>
                <c:pt idx="1">
                  <c:v>Crane Variation</c:v>
                </c:pt>
                <c:pt idx="2">
                  <c:v>Gang Inefficiency</c:v>
                </c:pt>
                <c:pt idx="3">
                  <c:v>Time Accumulation</c:v>
                </c:pt>
              </c:strCache>
            </c:strRef>
          </c:cat>
          <c:val>
            <c:numRef>
              <c:f>'Pie Chart Data'!$B$2:$B$5</c:f>
              <c:numCache>
                <c:formatCode>_-[$R-1C09]* #,##0.00_-;\-[$R-1C09]* #,##0.00_-;_-[$R-1C09]* "-"??_-;_-@_-</c:formatCode>
                <c:ptCount val="4"/>
                <c:pt idx="0">
                  <c:v>477360</c:v>
                </c:pt>
                <c:pt idx="1">
                  <c:v>190944</c:v>
                </c:pt>
                <c:pt idx="2">
                  <c:v>190944</c:v>
                </c:pt>
                <c:pt idx="3">
                  <c:v>95472</c:v>
                </c:pt>
              </c:numCache>
            </c:numRef>
          </c:val>
          <c:extLst>
            <c:ext xmlns:c16="http://schemas.microsoft.com/office/drawing/2014/chart" uri="{C3380CC4-5D6E-409C-BE32-E72D297353CC}">
              <c16:uniqueId val="{00000000-7DC7-4338-BD6B-DAC374E9AF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38100" cap="flat" cmpd="sng" algn="ctr">
      <a:solidFill>
        <a:schemeClr val="lt1"/>
      </a:solidFill>
      <a:prstDash val="soli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[Cost_Analysis_Dataset.xlsx]Scenario Analysis!PivotTable21</c:name>
    <c:fmtId val="12"/>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i="0" u="sng"/>
              <a:t>Total Monthly Loss Per GCH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'Scenario Analysis'!$F$2</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Analysis'!$E$3:$E$8</c:f>
              <c:strCache>
                <c:ptCount val="5"/>
                <c:pt idx="0">
                  <c:v>21</c:v>
                </c:pt>
                <c:pt idx="1">
                  <c:v>22</c:v>
                </c:pt>
                <c:pt idx="2">
                  <c:v>23</c:v>
                </c:pt>
                <c:pt idx="3">
                  <c:v>24</c:v>
                </c:pt>
                <c:pt idx="4">
                  <c:v>25</c:v>
                </c:pt>
              </c:strCache>
            </c:strRef>
          </c:cat>
          <c:val>
            <c:numRef>
              <c:f>'Scenario Analysis'!$F$3:$F$8</c:f>
              <c:numCache>
                <c:formatCode>_-[$R-1C09]* #,##0.00_-;\-[$R-1C09]* #,##0.00_-;_-[$R-1C09]* "-"??_-;_-@_-</c:formatCode>
                <c:ptCount val="5"/>
                <c:pt idx="0">
                  <c:v>954720</c:v>
                </c:pt>
                <c:pt idx="1">
                  <c:v>716040</c:v>
                </c:pt>
                <c:pt idx="2">
                  <c:v>477360</c:v>
                </c:pt>
                <c:pt idx="3">
                  <c:v>238680</c:v>
                </c:pt>
                <c:pt idx="4">
                  <c:v>0</c:v>
                </c:pt>
              </c:numCache>
            </c:numRef>
          </c:val>
          <c:extLst>
            <c:ext xmlns:c16="http://schemas.microsoft.com/office/drawing/2014/chart" uri="{C3380CC4-5D6E-409C-BE32-E72D297353CC}">
              <c16:uniqueId val="{00000000-01CB-4D42-ABE1-DEC16DA1B366}"/>
            </c:ext>
          </c:extLst>
        </c:ser>
        <c:dLbls>
          <c:dLblPos val="outEnd"/>
          <c:showLegendKey val="0"/>
          <c:showVal val="1"/>
          <c:showCatName val="0"/>
          <c:showSerName val="0"/>
          <c:showPercent val="0"/>
          <c:showBubbleSize val="0"/>
        </c:dLbls>
        <c:gapWidth val="100"/>
        <c:overlap val="-24"/>
        <c:axId val="256671567"/>
        <c:axId val="1829800399"/>
      </c:barChart>
      <c:catAx>
        <c:axId val="256671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Average</a:t>
                </a:r>
                <a:r>
                  <a:rPr lang="en-US" baseline="0"/>
                  <a:t> GCH</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9800399"/>
        <c:crosses val="autoZero"/>
        <c:auto val="1"/>
        <c:lblAlgn val="ctr"/>
        <c:lblOffset val="100"/>
        <c:noMultiLvlLbl val="0"/>
      </c:catAx>
      <c:valAx>
        <c:axId val="18298003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Monthly</a:t>
                </a:r>
                <a:r>
                  <a:rPr lang="en-US" baseline="0"/>
                  <a:t> loss (r)</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5667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tileRect/>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476251</xdr:colOff>
      <xdr:row>6</xdr:row>
      <xdr:rowOff>80962</xdr:rowOff>
    </xdr:from>
    <xdr:to>
      <xdr:col>9</xdr:col>
      <xdr:colOff>104775</xdr:colOff>
      <xdr:row>20</xdr:row>
      <xdr:rowOff>157162</xdr:rowOff>
    </xdr:to>
    <xdr:graphicFrame macro="">
      <xdr:nvGraphicFramePr>
        <xdr:cNvPr id="2" name="Chart 1">
          <a:extLst>
            <a:ext uri="{FF2B5EF4-FFF2-40B4-BE49-F238E27FC236}">
              <a16:creationId xmlns:a16="http://schemas.microsoft.com/office/drawing/2014/main" id="{EB7026EF-89BA-560A-E6D1-8C0511F25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476248</xdr:colOff>
      <xdr:row>22</xdr:row>
      <xdr:rowOff>61912</xdr:rowOff>
    </xdr:from>
    <xdr:to>
      <xdr:col>9</xdr:col>
      <xdr:colOff>304800</xdr:colOff>
      <xdr:row>36</xdr:row>
      <xdr:rowOff>138112</xdr:rowOff>
    </xdr:to>
    <xdr:graphicFrame macro="">
      <xdr:nvGraphicFramePr>
        <xdr:cNvPr id="7" name="Chart 6">
          <a:extLst>
            <a:ext uri="{FF2B5EF4-FFF2-40B4-BE49-F238E27FC236}">
              <a16:creationId xmlns:a16="http://schemas.microsoft.com/office/drawing/2014/main" id="{40277D10-6B50-5D8D-0593-9224FFA41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304799</xdr:colOff>
      <xdr:row>6</xdr:row>
      <xdr:rowOff>123825</xdr:rowOff>
    </xdr:from>
    <xdr:to>
      <xdr:col>19</xdr:col>
      <xdr:colOff>257174</xdr:colOff>
      <xdr:row>18</xdr:row>
      <xdr:rowOff>114300</xdr:rowOff>
    </xdr:to>
    <xdr:sp macro="" textlink="">
      <xdr:nvSpPr>
        <xdr:cNvPr id="9" name="TextBox 8">
          <a:extLst>
            <a:ext uri="{FF2B5EF4-FFF2-40B4-BE49-F238E27FC236}">
              <a16:creationId xmlns:a16="http://schemas.microsoft.com/office/drawing/2014/main" id="{E273DA4A-FF0F-A379-8080-457CCBF464D4}"/>
            </a:ext>
          </a:extLst>
        </xdr:cNvPr>
        <xdr:cNvSpPr txBox="1"/>
      </xdr:nvSpPr>
      <xdr:spPr>
        <a:xfrm>
          <a:off x="11201399" y="1266825"/>
          <a:ext cx="6296025" cy="2276475"/>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fontAlgn="t"/>
          <a:r>
            <a:rPr lang="en-US" sz="1100" b="0" i="0">
              <a:solidFill>
                <a:schemeClr val="dk1"/>
              </a:solidFill>
              <a:effectLst/>
              <a:latin typeface="+mn-lt"/>
              <a:ea typeface="+mn-ea"/>
              <a:cs typeface="+mn-cs"/>
            </a:rPr>
            <a:t>The analysis shows that current operations are performing below the required efficiency level. With a target of 25 moves per hour and an actual performance of 21 moves per hour, there is a consistent gap of 4 moves per hour. This gap translates directly into financial loss.</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At the unit level, the loss begins at </a:t>
          </a:r>
          <a:r>
            <a:rPr lang="en-US" sz="1100" b="1" i="0">
              <a:solidFill>
                <a:schemeClr val="dk1"/>
              </a:solidFill>
              <a:effectLst/>
              <a:latin typeface="+mn-lt"/>
              <a:ea typeface="+mn-ea"/>
              <a:cs typeface="+mn-cs"/>
            </a:rPr>
            <a:t>R2,652 </a:t>
          </a:r>
          <a:r>
            <a:rPr lang="en-US" sz="1100" b="0" i="0">
              <a:solidFill>
                <a:schemeClr val="dk1"/>
              </a:solidFill>
              <a:effectLst/>
              <a:latin typeface="+mn-lt"/>
              <a:ea typeface="+mn-ea"/>
              <a:cs typeface="+mn-cs"/>
            </a:rPr>
            <a:t>per move inefficiency, which scales to</a:t>
          </a:r>
          <a:r>
            <a:rPr lang="en-US" sz="1100" b="1" i="0">
              <a:solidFill>
                <a:schemeClr val="dk1"/>
              </a:solidFill>
              <a:effectLst/>
              <a:latin typeface="+mn-lt"/>
              <a:ea typeface="+mn-ea"/>
              <a:cs typeface="+mn-cs"/>
            </a:rPr>
            <a:t> R10,608 </a:t>
          </a:r>
          <a:r>
            <a:rPr lang="en-US" sz="1100" b="0" i="0">
              <a:solidFill>
                <a:schemeClr val="dk1"/>
              </a:solidFill>
              <a:effectLst/>
              <a:latin typeface="+mn-lt"/>
              <a:ea typeface="+mn-ea"/>
              <a:cs typeface="+mn-cs"/>
            </a:rPr>
            <a:t>per operational cycle. When multiplied across three active gangs, the daily loss increases to </a:t>
          </a:r>
          <a:r>
            <a:rPr lang="en-US" sz="1100" b="1" i="0">
              <a:solidFill>
                <a:schemeClr val="dk1"/>
              </a:solidFill>
              <a:effectLst/>
              <a:latin typeface="+mn-lt"/>
              <a:ea typeface="+mn-ea"/>
              <a:cs typeface="+mn-cs"/>
            </a:rPr>
            <a:t>R31,824. </a:t>
          </a:r>
          <a:r>
            <a:rPr lang="en-US" sz="1100" b="0" i="0">
              <a:solidFill>
                <a:schemeClr val="dk1"/>
              </a:solidFill>
              <a:effectLst/>
              <a:latin typeface="+mn-lt"/>
              <a:ea typeface="+mn-ea"/>
              <a:cs typeface="+mn-cs"/>
            </a:rPr>
            <a:t>Over a 30-day period, this inefficiency accumulates to a total monthly loss of approximately </a:t>
          </a:r>
          <a:r>
            <a:rPr lang="en-US" sz="1100" b="1" i="0">
              <a:solidFill>
                <a:schemeClr val="dk1"/>
              </a:solidFill>
              <a:effectLst/>
              <a:latin typeface="+mn-lt"/>
              <a:ea typeface="+mn-ea"/>
              <a:cs typeface="+mn-cs"/>
            </a:rPr>
            <a:t>R954,720</a:t>
          </a:r>
          <a:r>
            <a:rPr lang="en-US" sz="1100" b="0" i="0">
              <a:solidFill>
                <a:schemeClr val="dk1"/>
              </a:solidFill>
              <a:effectLst/>
              <a:latin typeface="+mn-lt"/>
              <a:ea typeface="+mn-ea"/>
              <a:cs typeface="+mn-cs"/>
            </a:rPr>
            <a:t>.</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The data highlights that the primary driver of loss is not a single event but the compounding effect of small inefficiencies across time and multiple operational units. Even a marginal improvement in performance would significantly reduce losses, demonstrating a strong opportunity for cost recovery through operational optimisation.</a:t>
          </a:r>
        </a:p>
        <a:p>
          <a:endParaRPr lang="en-US" sz="1100" b="0"/>
        </a:p>
      </xdr:txBody>
    </xdr:sp>
    <xdr:clientData/>
  </xdr:twoCellAnchor>
  <xdr:twoCellAnchor>
    <xdr:from>
      <xdr:col>9</xdr:col>
      <xdr:colOff>514350</xdr:colOff>
      <xdr:row>22</xdr:row>
      <xdr:rowOff>0</xdr:rowOff>
    </xdr:from>
    <xdr:to>
      <xdr:col>19</xdr:col>
      <xdr:colOff>352425</xdr:colOff>
      <xdr:row>35</xdr:row>
      <xdr:rowOff>47625</xdr:rowOff>
    </xdr:to>
    <xdr:sp macro="" textlink="">
      <xdr:nvSpPr>
        <xdr:cNvPr id="10" name="TextBox 9">
          <a:extLst>
            <a:ext uri="{FF2B5EF4-FFF2-40B4-BE49-F238E27FC236}">
              <a16:creationId xmlns:a16="http://schemas.microsoft.com/office/drawing/2014/main" id="{461A2A8D-B9A8-9815-0121-945B189388EA}"/>
            </a:ext>
          </a:extLst>
        </xdr:cNvPr>
        <xdr:cNvSpPr txBox="1"/>
      </xdr:nvSpPr>
      <xdr:spPr>
        <a:xfrm>
          <a:off x="11410950" y="4191000"/>
          <a:ext cx="6181725" cy="2524125"/>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fontAlgn="t"/>
          <a:r>
            <a:rPr lang="en-US" sz="1100" b="0" i="0">
              <a:solidFill>
                <a:schemeClr val="dk1"/>
              </a:solidFill>
              <a:effectLst/>
              <a:latin typeface="+mn-lt"/>
              <a:ea typeface="+mn-ea"/>
              <a:cs typeface="+mn-cs"/>
            </a:rPr>
            <a:t>The chart illustrates how operational inefficiencies escalate over time, transforming relatively small unit losses into a substantial financial impact. At the lowest level, a loss of </a:t>
          </a:r>
          <a:r>
            <a:rPr lang="en-US" sz="1100" b="1" i="0">
              <a:solidFill>
                <a:schemeClr val="dk1"/>
              </a:solidFill>
              <a:effectLst/>
              <a:latin typeface="+mn-lt"/>
              <a:ea typeface="+mn-ea"/>
              <a:cs typeface="+mn-cs"/>
            </a:rPr>
            <a:t>R2,652 </a:t>
          </a:r>
          <a:r>
            <a:rPr lang="en-US" sz="1100" b="0" i="0">
              <a:solidFill>
                <a:schemeClr val="dk1"/>
              </a:solidFill>
              <a:effectLst/>
              <a:latin typeface="+mn-lt"/>
              <a:ea typeface="+mn-ea"/>
              <a:cs typeface="+mn-cs"/>
            </a:rPr>
            <a:t>per move may appear minimal; however, when scaled to a standard operational cycle, the loss increases to </a:t>
          </a:r>
          <a:r>
            <a:rPr lang="en-US" sz="1100" b="1" i="0">
              <a:solidFill>
                <a:schemeClr val="dk1"/>
              </a:solidFill>
              <a:effectLst/>
              <a:latin typeface="+mn-lt"/>
              <a:ea typeface="+mn-ea"/>
              <a:cs typeface="+mn-cs"/>
            </a:rPr>
            <a:t>R10,608 </a:t>
          </a:r>
          <a:r>
            <a:rPr lang="en-US" sz="1100" b="0" i="0">
              <a:solidFill>
                <a:schemeClr val="dk1"/>
              </a:solidFill>
              <a:effectLst/>
              <a:latin typeface="+mn-lt"/>
              <a:ea typeface="+mn-ea"/>
              <a:cs typeface="+mn-cs"/>
            </a:rPr>
            <a:t>per cycle.</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As operations continue across multiple gangs, this inefficiency compounds further, resulting in a daily loss of </a:t>
          </a:r>
          <a:r>
            <a:rPr lang="en-US" sz="1100" b="1" i="0">
              <a:solidFill>
                <a:schemeClr val="dk1"/>
              </a:solidFill>
              <a:effectLst/>
              <a:latin typeface="+mn-lt"/>
              <a:ea typeface="+mn-ea"/>
              <a:cs typeface="+mn-cs"/>
            </a:rPr>
            <a:t>R31,824. </a:t>
          </a:r>
          <a:r>
            <a:rPr lang="en-US" sz="1100" b="0" i="0">
              <a:solidFill>
                <a:schemeClr val="dk1"/>
              </a:solidFill>
              <a:effectLst/>
              <a:latin typeface="+mn-lt"/>
              <a:ea typeface="+mn-ea"/>
              <a:cs typeface="+mn-cs"/>
            </a:rPr>
            <a:t>The most significant impact becomes evident over time, where the accumulation of these daily inefficiencies leads to a total monthly loss of approximately</a:t>
          </a:r>
          <a:r>
            <a:rPr lang="en-US" sz="1100" b="1" i="0">
              <a:solidFill>
                <a:schemeClr val="dk1"/>
              </a:solidFill>
              <a:effectLst/>
              <a:latin typeface="+mn-lt"/>
              <a:ea typeface="+mn-ea"/>
              <a:cs typeface="+mn-cs"/>
            </a:rPr>
            <a:t> R954,720</a:t>
          </a:r>
          <a:r>
            <a:rPr lang="en-US" sz="1100" b="0" i="0">
              <a:solidFill>
                <a:schemeClr val="dk1"/>
              </a:solidFill>
              <a:effectLst/>
              <a:latin typeface="+mn-lt"/>
              <a:ea typeface="+mn-ea"/>
              <a:cs typeface="+mn-cs"/>
            </a:rPr>
            <a:t>.</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The visual clearly demonstrates that time is the biggest amplifier of cost. What begins as a small inefficiency at the operational level rapidly grows into a high financial burden when sustained over continuous periods. This highlights the importance of addressing performance gaps early, as ongoing inefficiencies have exponential financial consequences.</a:t>
          </a:r>
        </a:p>
        <a:p>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0</xdr:row>
      <xdr:rowOff>52386</xdr:rowOff>
    </xdr:from>
    <xdr:to>
      <xdr:col>10</xdr:col>
      <xdr:colOff>142875</xdr:colOff>
      <xdr:row>16</xdr:row>
      <xdr:rowOff>57149</xdr:rowOff>
    </xdr:to>
    <xdr:graphicFrame macro="">
      <xdr:nvGraphicFramePr>
        <xdr:cNvPr id="2" name="Chart 1">
          <a:extLst>
            <a:ext uri="{FF2B5EF4-FFF2-40B4-BE49-F238E27FC236}">
              <a16:creationId xmlns:a16="http://schemas.microsoft.com/office/drawing/2014/main" id="{F92DF747-CFAA-7BED-2D1F-67711DE92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xdr:colOff>
      <xdr:row>1</xdr:row>
      <xdr:rowOff>133349</xdr:rowOff>
    </xdr:from>
    <xdr:to>
      <xdr:col>17</xdr:col>
      <xdr:colOff>361950</xdr:colOff>
      <xdr:row>20</xdr:row>
      <xdr:rowOff>180975</xdr:rowOff>
    </xdr:to>
    <xdr:sp macro="" textlink="">
      <xdr:nvSpPr>
        <xdr:cNvPr id="3" name="TextBox 2">
          <a:extLst>
            <a:ext uri="{FF2B5EF4-FFF2-40B4-BE49-F238E27FC236}">
              <a16:creationId xmlns:a16="http://schemas.microsoft.com/office/drawing/2014/main" id="{ACFFEDE5-848A-0D9C-E522-9A385367184F}"/>
            </a:ext>
          </a:extLst>
        </xdr:cNvPr>
        <xdr:cNvSpPr txBox="1"/>
      </xdr:nvSpPr>
      <xdr:spPr>
        <a:xfrm>
          <a:off x="8629650" y="323849"/>
          <a:ext cx="4010025" cy="3667126"/>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fontAlgn="t"/>
          <a:r>
            <a:rPr lang="en-US" sz="1100" b="0" i="0">
              <a:solidFill>
                <a:schemeClr val="dk1"/>
              </a:solidFill>
              <a:effectLst/>
              <a:latin typeface="+mn-lt"/>
              <a:ea typeface="+mn-ea"/>
              <a:cs typeface="+mn-cs"/>
            </a:rPr>
            <a:t>The pie chart illustrates the distribution of total monthly losses across key operational factors. The largest contributor to the overall cost impact is GCH inefficiency, accounting for approximately </a:t>
          </a:r>
          <a:r>
            <a:rPr lang="en-US" sz="1100" b="1" i="0">
              <a:solidFill>
                <a:schemeClr val="dk1"/>
              </a:solidFill>
              <a:effectLst/>
              <a:latin typeface="+mn-lt"/>
              <a:ea typeface="+mn-ea"/>
              <a:cs typeface="+mn-cs"/>
            </a:rPr>
            <a:t>R477,360 (50%) </a:t>
          </a:r>
          <a:r>
            <a:rPr lang="en-US" sz="1100" b="0" i="0">
              <a:solidFill>
                <a:schemeClr val="dk1"/>
              </a:solidFill>
              <a:effectLst/>
              <a:latin typeface="+mn-lt"/>
              <a:ea typeface="+mn-ea"/>
              <a:cs typeface="+mn-cs"/>
            </a:rPr>
            <a:t>of total losses. This indicates that reduced operational speed is the primary driver of financial loss.</a:t>
          </a:r>
        </a:p>
        <a:p>
          <a:pPr fontAlgn="t"/>
          <a:r>
            <a:rPr lang="en-US" sz="1100" b="0" i="0">
              <a:solidFill>
                <a:schemeClr val="dk1"/>
              </a:solidFill>
              <a:effectLst/>
              <a:latin typeface="+mn-lt"/>
              <a:ea typeface="+mn-ea"/>
              <a:cs typeface="+mn-cs"/>
            </a:rPr>
            <a:t>Both crane performance variation and gang inefficiency contribute equally at </a:t>
          </a:r>
          <a:r>
            <a:rPr lang="en-US" sz="1100" b="1" i="0">
              <a:solidFill>
                <a:schemeClr val="dk1"/>
              </a:solidFill>
              <a:effectLst/>
              <a:latin typeface="+mn-lt"/>
              <a:ea typeface="+mn-ea"/>
              <a:cs typeface="+mn-cs"/>
            </a:rPr>
            <a:t>R190,944 (20%) </a:t>
          </a:r>
          <a:r>
            <a:rPr lang="en-US" sz="1100" b="0" i="0">
              <a:solidFill>
                <a:schemeClr val="dk1"/>
              </a:solidFill>
              <a:effectLst/>
              <a:latin typeface="+mn-lt"/>
              <a:ea typeface="+mn-ea"/>
              <a:cs typeface="+mn-cs"/>
            </a:rPr>
            <a:t>each, highlighting inconsistencies in equipment performance and workforce productivity as secondary contributors.</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Finally, time accumulation accounts for </a:t>
          </a:r>
          <a:r>
            <a:rPr lang="en-US" sz="1100" b="1" i="0">
              <a:solidFill>
                <a:schemeClr val="dk1"/>
              </a:solidFill>
              <a:effectLst/>
              <a:latin typeface="+mn-lt"/>
              <a:ea typeface="+mn-ea"/>
              <a:cs typeface="+mn-cs"/>
            </a:rPr>
            <a:t>R95,472 (10%), </a:t>
          </a:r>
          <a:r>
            <a:rPr lang="en-US" sz="1100" b="0" i="0">
              <a:solidFill>
                <a:schemeClr val="dk1"/>
              </a:solidFill>
              <a:effectLst/>
              <a:latin typeface="+mn-lt"/>
              <a:ea typeface="+mn-ea"/>
              <a:cs typeface="+mn-cs"/>
            </a:rPr>
            <a:t>demonstrating how ongoing inefficiencies compound over time to increase total losses.</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Overall, the distribution shows that while multiple factors contribute to the financial impact, the majority of losses originate from core operational inefficiency (GCH performance). Addressing this primary driver would yield the most significant reduction in costs.</a:t>
          </a:r>
        </a:p>
        <a:p>
          <a:endParaRPr lang="en-US"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285750</xdr:colOff>
      <xdr:row>0</xdr:row>
      <xdr:rowOff>90487</xdr:rowOff>
    </xdr:from>
    <xdr:to>
      <xdr:col>13</xdr:col>
      <xdr:colOff>590550</xdr:colOff>
      <xdr:row>14</xdr:row>
      <xdr:rowOff>166687</xdr:rowOff>
    </xdr:to>
    <xdr:graphicFrame macro="">
      <xdr:nvGraphicFramePr>
        <xdr:cNvPr id="4" name="Chart 3">
          <a:extLst>
            <a:ext uri="{FF2B5EF4-FFF2-40B4-BE49-F238E27FC236}">
              <a16:creationId xmlns:a16="http://schemas.microsoft.com/office/drawing/2014/main" id="{CFB11E0E-9773-D986-358E-E31134F10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438150</xdr:colOff>
      <xdr:row>1</xdr:row>
      <xdr:rowOff>38100</xdr:rowOff>
    </xdr:from>
    <xdr:to>
      <xdr:col>22</xdr:col>
      <xdr:colOff>533400</xdr:colOff>
      <xdr:row>16</xdr:row>
      <xdr:rowOff>142875</xdr:rowOff>
    </xdr:to>
    <xdr:sp macro="" textlink="">
      <xdr:nvSpPr>
        <xdr:cNvPr id="5" name="TextBox 4">
          <a:extLst>
            <a:ext uri="{FF2B5EF4-FFF2-40B4-BE49-F238E27FC236}">
              <a16:creationId xmlns:a16="http://schemas.microsoft.com/office/drawing/2014/main" id="{762E4BEA-9B08-31AB-8B52-B4838D0D5AB4}"/>
            </a:ext>
          </a:extLst>
        </xdr:cNvPr>
        <xdr:cNvSpPr txBox="1"/>
      </xdr:nvSpPr>
      <xdr:spPr>
        <a:xfrm>
          <a:off x="11801475" y="228600"/>
          <a:ext cx="4972050" cy="2962275"/>
        </a:xfrm>
        <a:prstGeom prst="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fontAlgn="t"/>
          <a:r>
            <a:rPr lang="en-US" sz="1100" b="0" i="0">
              <a:solidFill>
                <a:schemeClr val="dk1"/>
              </a:solidFill>
              <a:effectLst/>
              <a:latin typeface="+mn-lt"/>
              <a:ea typeface="+mn-ea"/>
              <a:cs typeface="+mn-cs"/>
            </a:rPr>
            <a:t>This chart demonstrates the direct relationship between operational performance (GCH) and financial loss. At the current performance level of 21 GCH, the operation is incurring a significant monthly loss of approximately</a:t>
          </a:r>
          <a:r>
            <a:rPr lang="en-US" sz="1100" b="1" i="0">
              <a:solidFill>
                <a:schemeClr val="dk1"/>
              </a:solidFill>
              <a:effectLst/>
              <a:latin typeface="+mn-lt"/>
              <a:ea typeface="+mn-ea"/>
              <a:cs typeface="+mn-cs"/>
            </a:rPr>
            <a:t> R954,720</a:t>
          </a:r>
          <a:r>
            <a:rPr lang="en-US" sz="1100" b="0" i="0">
              <a:solidFill>
                <a:schemeClr val="dk1"/>
              </a:solidFill>
              <a:effectLst/>
              <a:latin typeface="+mn-lt"/>
              <a:ea typeface="+mn-ea"/>
              <a:cs typeface="+mn-cs"/>
            </a:rPr>
            <a:t>.</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As performance improves incrementally, the financial impact reduces sharply. Increasing output to 22 GCH reduces losses to </a:t>
          </a:r>
          <a:r>
            <a:rPr lang="en-US" sz="1100" b="1" i="0">
              <a:solidFill>
                <a:schemeClr val="dk1"/>
              </a:solidFill>
              <a:effectLst/>
              <a:latin typeface="+mn-lt"/>
              <a:ea typeface="+mn-ea"/>
              <a:cs typeface="+mn-cs"/>
            </a:rPr>
            <a:t>R716,040</a:t>
          </a:r>
          <a:r>
            <a:rPr lang="en-US" sz="1100" b="0" i="0">
              <a:solidFill>
                <a:schemeClr val="dk1"/>
              </a:solidFill>
              <a:effectLst/>
              <a:latin typeface="+mn-lt"/>
              <a:ea typeface="+mn-ea"/>
              <a:cs typeface="+mn-cs"/>
            </a:rPr>
            <a:t>, while further improvements to 23 and 24 GCH continue to drive losses down to </a:t>
          </a:r>
          <a:r>
            <a:rPr lang="en-US" sz="1100" b="1" i="0">
              <a:solidFill>
                <a:schemeClr val="dk1"/>
              </a:solidFill>
              <a:effectLst/>
              <a:latin typeface="+mn-lt"/>
              <a:ea typeface="+mn-ea"/>
              <a:cs typeface="+mn-cs"/>
            </a:rPr>
            <a:t>R477,360 </a:t>
          </a:r>
          <a:r>
            <a:rPr lang="en-US" sz="1100" b="0" i="0">
              <a:solidFill>
                <a:schemeClr val="dk1"/>
              </a:solidFill>
              <a:effectLst/>
              <a:latin typeface="+mn-lt"/>
              <a:ea typeface="+mn-ea"/>
              <a:cs typeface="+mn-cs"/>
            </a:rPr>
            <a:t>and R238,680 respectively. At the target performance of 25 GCH, the loss is completely eliminated.</a:t>
          </a:r>
        </a:p>
        <a:p>
          <a:pPr fontAlgn="t"/>
          <a:endParaRPr lang="en-US" sz="1100" b="0" i="0">
            <a:solidFill>
              <a:schemeClr val="dk1"/>
            </a:solidFill>
            <a:effectLst/>
            <a:latin typeface="+mn-lt"/>
            <a:ea typeface="+mn-ea"/>
            <a:cs typeface="+mn-cs"/>
          </a:endParaRPr>
        </a:p>
        <a:p>
          <a:pPr fontAlgn="t"/>
          <a:r>
            <a:rPr lang="en-US" sz="1100" b="0" i="0">
              <a:solidFill>
                <a:schemeClr val="dk1"/>
              </a:solidFill>
              <a:effectLst/>
              <a:latin typeface="+mn-lt"/>
              <a:ea typeface="+mn-ea"/>
              <a:cs typeface="+mn-cs"/>
            </a:rPr>
            <a:t>The trend clearly shows that each 1-unit improvement in GCH results in substantial cost savings, highlighting a strong inverse relationship between efficiency and loss. This indicates that the operation is highly sensitive to performance changes, where even small improvements can lead to significant financial recovery.</a:t>
          </a:r>
        </a:p>
        <a:p>
          <a:endParaRPr lang="en-US" sz="11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hosikhona Mpungose" refreshedDate="46174.794836111112" createdVersion="8" refreshedVersion="8" minRefreshableVersion="3" recordCount="5" xr:uid="{06FF3510-D71A-41CF-988A-3E5D7A2BD714}">
  <cacheSource type="worksheet">
    <worksheetSource ref="A1:B6" sheet="Scenario Analysis"/>
  </cacheSource>
  <cacheFields count="2">
    <cacheField name="GCH" numFmtId="0">
      <sharedItems containsSemiMixedTypes="0" containsString="0" containsNumber="1" containsInteger="1" minValue="21" maxValue="25" count="5">
        <n v="21"/>
        <n v="22"/>
        <n v="23"/>
        <n v="24"/>
        <n v="25"/>
      </sharedItems>
    </cacheField>
    <cacheField name="Monthly Loss (R)" numFmtId="0">
      <sharedItems containsSemiMixedTypes="0" containsString="0" containsNumber="1" containsInteger="1" minValue="0" maxValue="954720" count="5">
        <n v="954720"/>
        <n v="716040"/>
        <n v="477360"/>
        <n v="238680"/>
        <n v="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hosikhona Mpungose" refreshedDate="46174.864375810183" createdVersion="8" refreshedVersion="8" minRefreshableVersion="3" recordCount="5" xr:uid="{24BAB6B0-2075-41B5-9A28-3595E0D5EDDB}">
  <cacheSource type="worksheet">
    <worksheetSource name="Table1"/>
  </cacheSource>
  <cacheFields count="12">
    <cacheField name="Stage" numFmtId="0">
      <sharedItems containsSemiMixedTypes="0" containsString="0" containsNumber="1" containsInteger="1" minValue="1" maxValue="5"/>
    </cacheField>
    <cacheField name="Category" numFmtId="0">
      <sharedItems/>
    </cacheField>
    <cacheField name="Description" numFmtId="0">
      <sharedItems count="6">
        <s v="Loss per single move (6m/ 20&quot;)"/>
        <s v="Loss for 4 moves"/>
        <s v="Daily loss per gang"/>
        <s v="Total for 3 gangs"/>
        <s v="Monthly accumulation"/>
        <s v="Loss per single move" u="1"/>
      </sharedItems>
    </cacheField>
    <cacheField name="Units" numFmtId="0">
      <sharedItems containsSemiMixedTypes="0" containsString="0" containsNumber="1" containsInteger="1" minValue="1" maxValue="30"/>
    </cacheField>
    <cacheField name="Base Value (R)" numFmtId="164">
      <sharedItems containsSemiMixedTypes="0" containsString="0" containsNumber="1" containsInteger="1" minValue="2652" maxValue="31824"/>
    </cacheField>
    <cacheField name="Multiplier" numFmtId="0">
      <sharedItems containsSemiMixedTypes="0" containsString="0" containsNumber="1" containsInteger="1" minValue="1" maxValue="30"/>
    </cacheField>
    <cacheField name="Result (R)" numFmtId="164">
      <sharedItems containsSemiMixedTypes="0" containsString="0" containsNumber="1" containsInteger="1" minValue="2652" maxValue="954720"/>
    </cacheField>
    <cacheField name="Time Period" numFmtId="0">
      <sharedItems count="5">
        <s v="Per Move"/>
        <s v="Per Cycle"/>
        <s v="Per Gang (Daily)"/>
        <s v="Per Day"/>
        <s v="Per Month"/>
      </sharedItems>
    </cacheField>
    <cacheField name="GCH" numFmtId="0">
      <sharedItems containsSemiMixedTypes="0" containsString="0" containsNumber="1" containsInteger="1" minValue="21" maxValue="21"/>
    </cacheField>
    <cacheField name="Notes" numFmtId="0">
      <sharedItems/>
    </cacheField>
    <cacheField name="Column1" numFmtId="0">
      <sharedItems containsNonDate="0" containsString="0" containsBlank="1"/>
    </cacheField>
    <cacheField name="Column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s v="Move Loss"/>
    <x v="0"/>
    <n v="1"/>
    <n v="2652"/>
    <n v="1"/>
    <n v="2652"/>
    <x v="0"/>
    <n v="21"/>
    <s v="Based on performance gap"/>
    <m/>
    <m/>
  </r>
  <r>
    <n v="2"/>
    <s v="Move Loss"/>
    <x v="1"/>
    <n v="4"/>
    <n v="2652"/>
    <n v="4"/>
    <n v="10608"/>
    <x v="1"/>
    <n v="21"/>
    <s v="Calculated inefficiency"/>
    <m/>
    <m/>
  </r>
  <r>
    <n v="3"/>
    <s v="Gang Loss"/>
    <x v="2"/>
    <n v="1"/>
    <n v="10608"/>
    <n v="1"/>
    <n v="10608"/>
    <x v="2"/>
    <n v="21"/>
    <s v="Single gang impact"/>
    <m/>
    <m/>
  </r>
  <r>
    <n v="4"/>
    <s v="Gang Loss"/>
    <x v="3"/>
    <n v="3"/>
    <n v="10608"/>
    <n v="3"/>
    <n v="31824"/>
    <x v="3"/>
    <n v="21"/>
    <s v="All gangs combined"/>
    <m/>
    <m/>
  </r>
  <r>
    <n v="5"/>
    <s v="Time Impact"/>
    <x v="4"/>
    <n v="30"/>
    <n v="31824"/>
    <n v="30"/>
    <n v="954720"/>
    <x v="4"/>
    <n v="21"/>
    <s v="Total monthly loss"/>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B9072C-B62A-4DC3-B7BD-8796853B25DF}" name="PivotTable22" cacheId="9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B18:C23" firstHeaderRow="1" firstDataRow="1" firstDataCol="1"/>
  <pivotFields count="12">
    <pivotField showAll="0"/>
    <pivotField showAll="0"/>
    <pivotField showAll="0"/>
    <pivotField showAll="0"/>
    <pivotField numFmtId="164" showAll="0"/>
    <pivotField showAll="0"/>
    <pivotField dataField="1" numFmtId="164" showAll="0"/>
    <pivotField axis="axisRow" showAll="0">
      <items count="6">
        <item x="1"/>
        <item x="3"/>
        <item x="2"/>
        <item x="4"/>
        <item x="0"/>
        <item t="default"/>
      </items>
    </pivotField>
    <pivotField showAll="0"/>
    <pivotField showAll="0"/>
    <pivotField showAll="0"/>
    <pivotField showAll="0"/>
  </pivotFields>
  <rowFields count="1">
    <field x="7"/>
  </rowFields>
  <rowItems count="5">
    <i>
      <x/>
    </i>
    <i>
      <x v="1"/>
    </i>
    <i>
      <x v="2"/>
    </i>
    <i>
      <x v="3"/>
    </i>
    <i>
      <x v="4"/>
    </i>
  </rowItems>
  <colItems count="1">
    <i/>
  </colItems>
  <dataFields count="1">
    <dataField name="Sum of Result (R)"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C5D9A-8BA1-4D0C-B5C5-F4F3F5E39911}" name="PivotTable17" cacheId="9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B9:D14" firstHeaderRow="0" firstDataRow="1" firstDataCol="1"/>
  <pivotFields count="12">
    <pivotField showAll="0"/>
    <pivotField showAll="0"/>
    <pivotField axis="axisRow" showAll="0">
      <items count="7">
        <item x="2"/>
        <item x="1"/>
        <item m="1" x="5"/>
        <item x="4"/>
        <item x="3"/>
        <item x="0"/>
        <item t="default"/>
      </items>
    </pivotField>
    <pivotField dataField="1" showAll="0"/>
    <pivotField showAll="0"/>
    <pivotField showAll="0"/>
    <pivotField dataField="1" showAll="0"/>
    <pivotField showAll="0"/>
    <pivotField showAll="0"/>
    <pivotField showAll="0"/>
    <pivotField showAll="0"/>
    <pivotField showAll="0"/>
  </pivotFields>
  <rowFields count="1">
    <field x="2"/>
  </rowFields>
  <rowItems count="5">
    <i>
      <x/>
    </i>
    <i>
      <x v="1"/>
    </i>
    <i>
      <x v="3"/>
    </i>
    <i>
      <x v="4"/>
    </i>
    <i>
      <x v="5"/>
    </i>
  </rowItems>
  <colFields count="1">
    <field x="-2"/>
  </colFields>
  <colItems count="2">
    <i>
      <x/>
    </i>
    <i i="1">
      <x v="1"/>
    </i>
  </colItems>
  <dataFields count="2">
    <dataField name="Sum of Units" fld="3" baseField="0" baseItem="0"/>
    <dataField name="Sum of Result (R)" fld="6" baseField="0" baseItem="0"/>
  </dataFields>
  <formats count="1">
    <format dxfId="4">
      <pivotArea collapsedLevelsAreSubtotals="1" fieldPosition="0">
        <references count="2">
          <reference field="4294967294" count="1" selected="0">
            <x v="1"/>
          </reference>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FBD126-755E-4E2A-96D4-B2C1DF2762A7}" name="PivotTable2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2:F8" firstHeaderRow="1" firstDataRow="1" firstDataCol="1"/>
  <pivotFields count="2">
    <pivotField axis="axisRow" showAll="0">
      <items count="6">
        <item x="0"/>
        <item x="1"/>
        <item x="2"/>
        <item x="3"/>
        <item x="4"/>
        <item t="default"/>
      </items>
    </pivotField>
    <pivotField dataField="1" showAll="0">
      <items count="6">
        <item x="4"/>
        <item x="3"/>
        <item x="2"/>
        <item x="1"/>
        <item x="0"/>
        <item t="default"/>
      </items>
    </pivotField>
  </pivotFields>
  <rowFields count="1">
    <field x="0"/>
  </rowFields>
  <rowItems count="6">
    <i>
      <x/>
    </i>
    <i>
      <x v="1"/>
    </i>
    <i>
      <x v="2"/>
    </i>
    <i>
      <x v="3"/>
    </i>
    <i>
      <x v="4"/>
    </i>
    <i t="grand">
      <x/>
    </i>
  </rowItems>
  <colItems count="1">
    <i/>
  </colItems>
  <dataFields count="1">
    <dataField name="Sum of Monthly Loss (R)" fld="1" baseField="0" baseItem="0"/>
  </dataFields>
  <formats count="1">
    <format dxfId="3">
      <pivotArea collapsedLevelsAreSubtotals="1" fieldPosition="0">
        <references count="1">
          <reference field="0" count="0"/>
        </references>
      </pivotArea>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026D6C-009A-474B-B7AA-C6A07D72F7F7}" name="Table1" displayName="Table1" ref="A1:L6" totalsRowShown="0" headerRowDxfId="7">
  <autoFilter ref="A1:L6" xr:uid="{4F026D6C-009A-474B-B7AA-C6A07D72F7F7}"/>
  <tableColumns count="12">
    <tableColumn id="1" xr3:uid="{9413F5FC-044E-4101-934C-AAF57752A52E}" name="Stage"/>
    <tableColumn id="2" xr3:uid="{557A926F-CED5-4DEF-BF08-06A25E95614B}" name="Category"/>
    <tableColumn id="3" xr3:uid="{A82AFFB3-DF70-4FD3-8D46-14E5859356E8}" name="Description"/>
    <tableColumn id="4" xr3:uid="{7BD959F6-9DE3-44B6-9AC2-B9F06EDF8E69}" name="Units"/>
    <tableColumn id="5" xr3:uid="{4658ECC6-C5F1-4485-9F59-34BEEB926B10}" name="Base Value (R)" dataDxfId="6"/>
    <tableColumn id="6" xr3:uid="{70E51724-59CA-4192-9345-DE332AEF8092}" name="Multiplier"/>
    <tableColumn id="7" xr3:uid="{B226A3CD-201A-4490-A7E1-9AC8D8F2A203}" name="Result (R)" dataDxfId="5"/>
    <tableColumn id="8" xr3:uid="{58975BD8-FED4-4D98-955F-431508A8085D}" name="Time Period"/>
    <tableColumn id="9" xr3:uid="{24C97CB1-B680-41C0-9050-B8F5928B0062}" name="GCH"/>
    <tableColumn id="10" xr3:uid="{B8B72CAC-8212-4552-A8BF-5184018F9CEE}" name="Notes"/>
    <tableColumn id="11" xr3:uid="{3F04651B-2EB3-4D9F-A741-076B3060221A}" name="Column1"/>
    <tableColumn id="12" xr3:uid="{0FBAD728-1D4D-455E-930A-253286EF4210}" name="Column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opLeftCell="C11" workbookViewId="0">
      <selection activeCell="C15" sqref="C15"/>
    </sheetView>
  </sheetViews>
  <sheetFormatPr defaultRowHeight="15" x14ac:dyDescent="0.25"/>
  <cols>
    <col min="2" max="2" width="29" customWidth="1"/>
    <col min="3" max="3" width="40.5703125" customWidth="1"/>
    <col min="4" max="4" width="16.28515625" bestFit="1" customWidth="1"/>
    <col min="5" max="5" width="16.7109375" bestFit="1" customWidth="1"/>
    <col min="6" max="6" width="25.140625" customWidth="1"/>
    <col min="7" max="7" width="23" customWidth="1"/>
    <col min="8" max="8" width="21.7109375" customWidth="1"/>
    <col min="9" max="9" width="19.85546875" customWidth="1"/>
    <col min="11" max="12" width="11" customWidth="1"/>
  </cols>
  <sheetData>
    <row r="1" spans="1:12" x14ac:dyDescent="0.25">
      <c r="A1" s="1" t="s">
        <v>0</v>
      </c>
      <c r="B1" s="1" t="s">
        <v>1</v>
      </c>
      <c r="C1" s="1" t="s">
        <v>2</v>
      </c>
      <c r="D1" s="1" t="s">
        <v>3</v>
      </c>
      <c r="E1" s="1" t="s">
        <v>4</v>
      </c>
      <c r="F1" s="1" t="s">
        <v>5</v>
      </c>
      <c r="G1" s="1" t="s">
        <v>6</v>
      </c>
      <c r="H1" s="1" t="s">
        <v>7</v>
      </c>
      <c r="I1" s="1" t="s">
        <v>8</v>
      </c>
      <c r="J1" s="1" t="s">
        <v>9</v>
      </c>
      <c r="K1" t="s">
        <v>35</v>
      </c>
      <c r="L1" t="s">
        <v>36</v>
      </c>
    </row>
    <row r="2" spans="1:12" x14ac:dyDescent="0.25">
      <c r="A2">
        <v>1</v>
      </c>
      <c r="B2" t="s">
        <v>10</v>
      </c>
      <c r="C2" t="s">
        <v>40</v>
      </c>
      <c r="D2">
        <v>1</v>
      </c>
      <c r="E2" s="5">
        <v>2652</v>
      </c>
      <c r="F2">
        <v>1</v>
      </c>
      <c r="G2" s="5">
        <v>2652</v>
      </c>
      <c r="H2" t="s">
        <v>11</v>
      </c>
      <c r="I2">
        <v>21</v>
      </c>
      <c r="J2" t="s">
        <v>12</v>
      </c>
    </row>
    <row r="3" spans="1:12" x14ac:dyDescent="0.25">
      <c r="A3">
        <v>2</v>
      </c>
      <c r="B3" t="s">
        <v>10</v>
      </c>
      <c r="C3" t="s">
        <v>13</v>
      </c>
      <c r="D3">
        <v>4</v>
      </c>
      <c r="E3" s="5">
        <v>2652</v>
      </c>
      <c r="F3">
        <v>4</v>
      </c>
      <c r="G3" s="5">
        <v>10608</v>
      </c>
      <c r="H3" t="s">
        <v>14</v>
      </c>
      <c r="I3">
        <v>21</v>
      </c>
      <c r="J3" t="s">
        <v>15</v>
      </c>
    </row>
    <row r="4" spans="1:12" x14ac:dyDescent="0.25">
      <c r="A4">
        <v>3</v>
      </c>
      <c r="B4" t="s">
        <v>16</v>
      </c>
      <c r="C4" t="s">
        <v>17</v>
      </c>
      <c r="D4">
        <v>1</v>
      </c>
      <c r="E4" s="5">
        <v>10608</v>
      </c>
      <c r="F4">
        <v>1</v>
      </c>
      <c r="G4" s="5">
        <v>10608</v>
      </c>
      <c r="H4" t="s">
        <v>18</v>
      </c>
      <c r="I4">
        <v>21</v>
      </c>
      <c r="J4" t="s">
        <v>19</v>
      </c>
    </row>
    <row r="5" spans="1:12" x14ac:dyDescent="0.25">
      <c r="A5">
        <v>4</v>
      </c>
      <c r="B5" t="s">
        <v>16</v>
      </c>
      <c r="C5" t="s">
        <v>20</v>
      </c>
      <c r="D5">
        <v>3</v>
      </c>
      <c r="E5" s="5">
        <v>10608</v>
      </c>
      <c r="F5">
        <v>3</v>
      </c>
      <c r="G5" s="5">
        <v>31824</v>
      </c>
      <c r="H5" t="s">
        <v>21</v>
      </c>
      <c r="I5">
        <v>21</v>
      </c>
      <c r="J5" t="s">
        <v>22</v>
      </c>
    </row>
    <row r="6" spans="1:12" x14ac:dyDescent="0.25">
      <c r="A6">
        <v>5</v>
      </c>
      <c r="B6" t="s">
        <v>23</v>
      </c>
      <c r="C6" t="s">
        <v>24</v>
      </c>
      <c r="D6">
        <v>30</v>
      </c>
      <c r="E6" s="5">
        <v>31824</v>
      </c>
      <c r="F6">
        <v>30</v>
      </c>
      <c r="G6" s="5">
        <v>954720</v>
      </c>
      <c r="H6" t="s">
        <v>25</v>
      </c>
      <c r="I6">
        <v>21</v>
      </c>
      <c r="J6" t="s">
        <v>26</v>
      </c>
    </row>
    <row r="9" spans="1:12" x14ac:dyDescent="0.25">
      <c r="B9" s="2" t="s">
        <v>37</v>
      </c>
      <c r="C9" t="s">
        <v>33</v>
      </c>
      <c r="D9" t="s">
        <v>34</v>
      </c>
    </row>
    <row r="10" spans="1:12" x14ac:dyDescent="0.25">
      <c r="B10" s="3" t="s">
        <v>17</v>
      </c>
      <c r="C10" s="4">
        <v>1</v>
      </c>
      <c r="D10" s="5">
        <v>10608</v>
      </c>
    </row>
    <row r="11" spans="1:12" x14ac:dyDescent="0.25">
      <c r="B11" s="3" t="s">
        <v>13</v>
      </c>
      <c r="C11" s="4">
        <v>4</v>
      </c>
      <c r="D11" s="5">
        <v>10608</v>
      </c>
    </row>
    <row r="12" spans="1:12" x14ac:dyDescent="0.25">
      <c r="B12" s="3" t="s">
        <v>24</v>
      </c>
      <c r="C12" s="4">
        <v>30</v>
      </c>
      <c r="D12" s="5">
        <v>954720</v>
      </c>
    </row>
    <row r="13" spans="1:12" x14ac:dyDescent="0.25">
      <c r="B13" s="3" t="s">
        <v>20</v>
      </c>
      <c r="C13" s="4">
        <v>3</v>
      </c>
      <c r="D13" s="5">
        <v>31824</v>
      </c>
    </row>
    <row r="14" spans="1:12" x14ac:dyDescent="0.25">
      <c r="B14" s="3" t="s">
        <v>40</v>
      </c>
      <c r="C14" s="4">
        <v>1</v>
      </c>
      <c r="D14" s="5">
        <v>2652</v>
      </c>
    </row>
    <row r="18" spans="2:3" x14ac:dyDescent="0.25">
      <c r="B18" s="2" t="s">
        <v>37</v>
      </c>
      <c r="C18" t="s">
        <v>34</v>
      </c>
    </row>
    <row r="19" spans="2:3" x14ac:dyDescent="0.25">
      <c r="B19" s="3" t="s">
        <v>14</v>
      </c>
      <c r="C19" s="5">
        <v>10608</v>
      </c>
    </row>
    <row r="20" spans="2:3" x14ac:dyDescent="0.25">
      <c r="B20" s="3" t="s">
        <v>21</v>
      </c>
      <c r="C20" s="5">
        <v>31824</v>
      </c>
    </row>
    <row r="21" spans="2:3" x14ac:dyDescent="0.25">
      <c r="B21" s="3" t="s">
        <v>18</v>
      </c>
      <c r="C21" s="5">
        <v>10608</v>
      </c>
    </row>
    <row r="22" spans="2:3" x14ac:dyDescent="0.25">
      <c r="B22" s="3" t="s">
        <v>25</v>
      </c>
      <c r="C22" s="5">
        <v>954720</v>
      </c>
    </row>
    <row r="23" spans="2:3" x14ac:dyDescent="0.25">
      <c r="B23" s="3" t="s">
        <v>11</v>
      </c>
      <c r="C23" s="5">
        <v>2652</v>
      </c>
    </row>
  </sheetData>
  <pageMargins left="0.75" right="0.75" top="1" bottom="1" header="0.5" footer="0.5"/>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F21" sqref="F21"/>
    </sheetView>
  </sheetViews>
  <sheetFormatPr defaultRowHeight="15" x14ac:dyDescent="0.25"/>
  <cols>
    <col min="1" max="1" width="29.5703125" customWidth="1"/>
    <col min="2" max="2" width="17.42578125" customWidth="1"/>
  </cols>
  <sheetData>
    <row r="1" spans="1:2" x14ac:dyDescent="0.25">
      <c r="A1" s="1" t="s">
        <v>1</v>
      </c>
      <c r="B1" s="1" t="s">
        <v>27</v>
      </c>
    </row>
    <row r="2" spans="1:2" x14ac:dyDescent="0.25">
      <c r="A2" t="s">
        <v>28</v>
      </c>
      <c r="B2" s="5">
        <v>477360</v>
      </c>
    </row>
    <row r="3" spans="1:2" x14ac:dyDescent="0.25">
      <c r="A3" t="s">
        <v>29</v>
      </c>
      <c r="B3" s="5">
        <v>190944</v>
      </c>
    </row>
    <row r="4" spans="1:2" x14ac:dyDescent="0.25">
      <c r="A4" t="s">
        <v>30</v>
      </c>
      <c r="B4" s="5">
        <v>190944</v>
      </c>
    </row>
    <row r="5" spans="1:2" x14ac:dyDescent="0.25">
      <c r="A5" t="s">
        <v>31</v>
      </c>
      <c r="B5" s="5">
        <v>95472</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tabSelected="1" workbookViewId="0">
      <selection activeCell="L20" sqref="L20"/>
    </sheetView>
  </sheetViews>
  <sheetFormatPr defaultRowHeight="15" x14ac:dyDescent="0.25"/>
  <cols>
    <col min="1" max="1" width="15.5703125" customWidth="1"/>
    <col min="2" max="2" width="27.5703125" customWidth="1"/>
    <col min="5" max="5" width="13.140625" bestFit="1" customWidth="1"/>
    <col min="6" max="6" width="22.7109375" bestFit="1" customWidth="1"/>
  </cols>
  <sheetData>
    <row r="1" spans="1:6" x14ac:dyDescent="0.25">
      <c r="A1" s="1" t="s">
        <v>8</v>
      </c>
      <c r="B1" s="1" t="s">
        <v>32</v>
      </c>
    </row>
    <row r="2" spans="1:6" x14ac:dyDescent="0.25">
      <c r="A2">
        <v>21</v>
      </c>
      <c r="B2">
        <v>954720</v>
      </c>
      <c r="E2" s="2" t="s">
        <v>37</v>
      </c>
      <c r="F2" t="s">
        <v>39</v>
      </c>
    </row>
    <row r="3" spans="1:6" x14ac:dyDescent="0.25">
      <c r="A3">
        <v>22</v>
      </c>
      <c r="B3">
        <v>716040</v>
      </c>
      <c r="E3" s="3">
        <v>21</v>
      </c>
      <c r="F3" s="5">
        <v>954720</v>
      </c>
    </row>
    <row r="4" spans="1:6" x14ac:dyDescent="0.25">
      <c r="A4">
        <v>23</v>
      </c>
      <c r="B4">
        <v>477360</v>
      </c>
      <c r="E4" s="3">
        <v>22</v>
      </c>
      <c r="F4" s="5">
        <v>716040</v>
      </c>
    </row>
    <row r="5" spans="1:6" x14ac:dyDescent="0.25">
      <c r="A5">
        <v>24</v>
      </c>
      <c r="B5">
        <v>238680</v>
      </c>
      <c r="E5" s="3">
        <v>23</v>
      </c>
      <c r="F5" s="5">
        <v>477360</v>
      </c>
    </row>
    <row r="6" spans="1:6" x14ac:dyDescent="0.25">
      <c r="A6">
        <v>25</v>
      </c>
      <c r="B6">
        <v>0</v>
      </c>
      <c r="E6" s="3">
        <v>24</v>
      </c>
      <c r="F6" s="5">
        <v>238680</v>
      </c>
    </row>
    <row r="7" spans="1:6" x14ac:dyDescent="0.25">
      <c r="E7" s="3">
        <v>25</v>
      </c>
      <c r="F7" s="5">
        <v>0</v>
      </c>
    </row>
    <row r="8" spans="1:6" x14ac:dyDescent="0.25">
      <c r="E8" s="3" t="s">
        <v>38</v>
      </c>
      <c r="F8" s="4">
        <v>2386800</v>
      </c>
    </row>
  </sheetData>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Data</vt:lpstr>
      <vt:lpstr>Pie Chart Data</vt:lpstr>
      <vt:lpstr>Scenario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Nkosikhona Blessing Mpungose</dc:creator>
  <cp:lastModifiedBy>Nkosikhona Blessing Mpungose</cp:lastModifiedBy>
  <dcterms:created xsi:type="dcterms:W3CDTF">2026-06-01T16:08:18Z</dcterms:created>
  <dcterms:modified xsi:type="dcterms:W3CDTF">2026-06-01T18:49:01Z</dcterms:modified>
</cp:coreProperties>
</file>